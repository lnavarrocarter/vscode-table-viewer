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Ventas" sheetId="1" r:id="rId1"/>
    <sheet name="Resumen" sheetId="2" r:id="rId2"/>
    <sheet name="Catalogo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cols>
    <col min="1" max="1" width="10.83203125" customWidth="1"/>
    <col min="2" max="2" width="14.83203125" customWidth="1"/>
    <col min="3" max="3" width="12.83203125" customWidth="1"/>
    <col min="4" max="4" width="16.83203125" customWidth="1"/>
    <col min="5" max="5" width="16.83203125" customWidth="1"/>
    <col min="6" max="6" width="12.83203125" customWidth="1"/>
    <col min="7" max="7" width="14.83203125" customWidth="1"/>
    <col min="8" max="8" width="16.83203125" customWidth="1"/>
    <col min="9" max="9" width="10.83203125" customWidth="1"/>
  </cols>
  <sheetData>
    <row r="1">
      <c r="A1" t="str">
        <v>ID</v>
      </c>
      <c r="B1" t="str">
        <v>FECHA</v>
      </c>
      <c r="C1" t="str">
        <v>REGION</v>
      </c>
      <c r="D1" t="str">
        <v>VENDEDOR</v>
      </c>
      <c r="E1" t="str">
        <v>PRODUCTO</v>
      </c>
      <c r="F1" t="str">
        <v>CANTIDAD</v>
      </c>
      <c r="G1" t="str">
        <v>PRECIO</v>
      </c>
      <c r="H1" t="str">
        <v>TOTAL</v>
      </c>
      <c r="I1" t="str">
        <v>ACTIVO</v>
      </c>
    </row>
    <row r="2">
      <c r="A2" t="str">
        <v>000001</v>
      </c>
      <c r="B2" s="1">
        <v>46296.5</v>
      </c>
      <c r="C2" t="str">
        <v>Norte</v>
      </c>
      <c r="D2" t="str">
        <v>José</v>
      </c>
      <c r="E2" t="str">
        <v>Cuaderno</v>
      </c>
      <c r="F2">
        <v>1</v>
      </c>
      <c r="G2" s="2">
        <v>2490.5</v>
      </c>
      <c r="H2" s="2">
        <f>F2*G2</f>
        <v>2490.5</v>
      </c>
      <c r="I2" t="b">
        <v>0</v>
      </c>
    </row>
    <row r="3">
      <c r="A3" t="str">
        <v>000002</v>
      </c>
      <c r="B3" s="1">
        <v>46297.5</v>
      </c>
      <c r="C3" t="str">
        <v>Centro</v>
      </c>
      <c r="D3" t="str">
        <v>José</v>
      </c>
      <c r="E3" t="str">
        <v>Lápiz</v>
      </c>
      <c r="F3">
        <v>2</v>
      </c>
      <c r="G3" s="2">
        <v>590</v>
      </c>
      <c r="H3" s="2">
        <f>F3*G3</f>
        <v>1180</v>
      </c>
      <c r="I3" t="b">
        <v>1</v>
      </c>
    </row>
    <row r="4">
      <c r="A4" t="str">
        <v>000003</v>
      </c>
      <c r="B4" s="1">
        <v>46298.5</v>
      </c>
      <c r="C4" t="str">
        <v>Sur</v>
      </c>
      <c r="D4" t="str">
        <v>José</v>
      </c>
      <c r="E4" t="str">
        <v>Carpeta</v>
      </c>
      <c r="F4">
        <v>3</v>
      </c>
      <c r="G4" s="2">
        <v>1290.75</v>
      </c>
      <c r="H4" s="2">
        <f>F4*G4</f>
        <v>3872.25</v>
      </c>
      <c r="I4" t="b">
        <v>1</v>
      </c>
    </row>
    <row r="5">
      <c r="A5" t="str">
        <v>000004</v>
      </c>
      <c r="B5" s="1">
        <v>46299.5</v>
      </c>
      <c r="C5" t="str">
        <v>Norte</v>
      </c>
      <c r="D5" t="str">
        <v>María</v>
      </c>
      <c r="E5" t="str">
        <v>Agenda</v>
      </c>
      <c r="F5">
        <v>4</v>
      </c>
      <c r="G5" s="2">
        <v>5990</v>
      </c>
      <c r="H5" s="2">
        <f>F5*G5</f>
        <v>23960</v>
      </c>
      <c r="I5" t="b">
        <v>1</v>
      </c>
    </row>
    <row r="6">
      <c r="A6" t="str">
        <v>000005</v>
      </c>
      <c r="B6" s="1">
        <v>46300.5</v>
      </c>
      <c r="C6" t="str">
        <v>Centro</v>
      </c>
      <c r="D6" t="str">
        <v>María</v>
      </c>
      <c r="E6" t="str">
        <v>Cuaderno</v>
      </c>
      <c r="F6">
        <v>5</v>
      </c>
      <c r="G6" s="2">
        <v>2490.5</v>
      </c>
      <c r="H6" s="2">
        <f>F6*G6</f>
        <v>12452.5</v>
      </c>
      <c r="I6" t="b">
        <v>1</v>
      </c>
    </row>
    <row r="7">
      <c r="A7" t="str">
        <v>000006</v>
      </c>
      <c r="B7" s="1">
        <v>46301.5</v>
      </c>
      <c r="C7" t="str">
        <v>Sur</v>
      </c>
      <c r="D7" t="str">
        <v>María</v>
      </c>
      <c r="E7" t="str">
        <v>Lápiz</v>
      </c>
      <c r="F7">
        <v>1</v>
      </c>
      <c r="G7" s="2">
        <v>590</v>
      </c>
      <c r="H7" s="2">
        <f>F7*G7</f>
        <v>590</v>
      </c>
      <c r="I7" t="b">
        <v>1</v>
      </c>
    </row>
    <row r="8">
      <c r="A8" t="str">
        <v>000007</v>
      </c>
      <c r="B8" s="1">
        <v>46302.5</v>
      </c>
      <c r="C8" t="str">
        <v>Norte</v>
      </c>
      <c r="D8" t="str">
        <v>Ana</v>
      </c>
      <c r="E8" t="str">
        <v>Carpeta</v>
      </c>
      <c r="F8">
        <v>-1</v>
      </c>
      <c r="G8" s="2">
        <v>1290.75</v>
      </c>
      <c r="H8" s="2">
        <f>F8*G8</f>
        <v>-1290.75</v>
      </c>
      <c r="I8" t="b">
        <v>1</v>
      </c>
    </row>
    <row r="9">
      <c r="A9" t="str">
        <v>000008</v>
      </c>
      <c r="B9" s="1">
        <v>46303.5</v>
      </c>
      <c r="C9" t="str">
        <v>Centro</v>
      </c>
      <c r="D9" t="str">
        <v>Ana</v>
      </c>
      <c r="E9" t="str">
        <v>Agenda</v>
      </c>
      <c r="F9">
        <v>3</v>
      </c>
      <c r="G9" s="2">
        <v>5990</v>
      </c>
      <c r="H9" s="2">
        <f>F9*G9</f>
        <v>17970</v>
      </c>
      <c r="I9" t="b">
        <v>0</v>
      </c>
    </row>
    <row r="10">
      <c r="A10" t="str">
        <v>000009</v>
      </c>
      <c r="B10" s="1">
        <v>46304.5</v>
      </c>
      <c r="C10" t="str">
        <v>Sur</v>
      </c>
      <c r="D10" t="str">
        <v>Ana</v>
      </c>
      <c r="E10" t="str">
        <v>Cuaderno</v>
      </c>
      <c r="F10">
        <v>4</v>
      </c>
      <c r="G10" s="2">
        <v>2490.5</v>
      </c>
      <c r="H10" s="2">
        <f>F10*G10</f>
        <v>9962</v>
      </c>
      <c r="I10" t="b">
        <v>1</v>
      </c>
    </row>
    <row r="11">
      <c r="A11" t="str">
        <v>000010</v>
      </c>
      <c r="B11" s="1">
        <v>46305.5</v>
      </c>
      <c r="C11" t="str">
        <v>Norte</v>
      </c>
      <c r="D11" t="str">
        <v>Andrés</v>
      </c>
      <c r="E11" t="str">
        <v>Lápiz</v>
      </c>
      <c r="F11">
        <v>5</v>
      </c>
      <c r="G11" s="2">
        <v>590</v>
      </c>
      <c r="H11" s="2">
        <f>F11*G11</f>
        <v>2950</v>
      </c>
      <c r="I11" t="b">
        <v>1</v>
      </c>
    </row>
    <row r="12">
      <c r="A12" t="str">
        <v>000011</v>
      </c>
      <c r="B12" s="1">
        <v>46306.5</v>
      </c>
      <c r="C12" t="str">
        <v>Centro</v>
      </c>
      <c r="D12" t="str">
        <v>Andrés</v>
      </c>
      <c r="E12" t="str">
        <v>Carpeta</v>
      </c>
      <c r="F12">
        <v>1</v>
      </c>
      <c r="G12" s="2">
        <v>1290.75</v>
      </c>
      <c r="H12" s="2">
        <f>F12*G12</f>
        <v>1290.75</v>
      </c>
      <c r="I12" t="b">
        <v>1</v>
      </c>
    </row>
    <row r="13">
      <c r="A13" t="str">
        <v>000012</v>
      </c>
      <c r="B13" s="1">
        <v>46307.5</v>
      </c>
      <c r="C13" t="str">
        <v>Sur</v>
      </c>
      <c r="D13" t="str">
        <v>Andrés</v>
      </c>
      <c r="E13" t="str">
        <v>Agenda</v>
      </c>
      <c r="F13">
        <v>2</v>
      </c>
      <c r="G13" s="2">
        <v>5990</v>
      </c>
      <c r="H13" s="2">
        <f>F13*G13</f>
        <v>11980</v>
      </c>
      <c r="I13" t="b">
        <v>1</v>
      </c>
    </row>
    <row r="14">
      <c r="A14" t="str">
        <v>000013</v>
      </c>
      <c r="B14" s="1">
        <v>46308.5</v>
      </c>
      <c r="C14" t="str">
        <v>Norte</v>
      </c>
      <c r="D14" t="str">
        <v>José</v>
      </c>
      <c r="E14" t="str">
        <v>Cuaderno</v>
      </c>
      <c r="F14">
        <v>3</v>
      </c>
      <c r="G14" s="2">
        <v>2490.5</v>
      </c>
      <c r="H14" s="2">
        <f>F14*G14</f>
        <v>7471.5</v>
      </c>
      <c r="I14" t="b">
        <v>1</v>
      </c>
    </row>
    <row r="15">
      <c r="A15" t="str">
        <v>000014</v>
      </c>
      <c r="B15" s="1">
        <v>46309.5</v>
      </c>
      <c r="C15" t="str">
        <v>Centro</v>
      </c>
      <c r="D15" t="str">
        <v>José</v>
      </c>
      <c r="E15" t="str">
        <v>Lápiz</v>
      </c>
      <c r="F15">
        <v>4</v>
      </c>
      <c r="G15" s="2">
        <v>590</v>
      </c>
      <c r="H15" s="2">
        <f>F15*G15</f>
        <v>2360</v>
      </c>
      <c r="I15" t="b">
        <v>1</v>
      </c>
    </row>
    <row r="16">
      <c r="A16" t="str">
        <v>000015</v>
      </c>
      <c r="B16" s="1">
        <v>46310.5</v>
      </c>
      <c r="C16" t="str">
        <v>Sur</v>
      </c>
      <c r="D16" t="str">
        <v>José</v>
      </c>
      <c r="E16" t="str">
        <v>Carpeta</v>
      </c>
      <c r="F16">
        <v>5</v>
      </c>
      <c r="G16" s="2">
        <v>1290.75</v>
      </c>
      <c r="H16" s="2">
        <f>F16*G16</f>
        <v>6453.75</v>
      </c>
      <c r="I16" t="b">
        <v>0</v>
      </c>
    </row>
    <row r="17">
      <c r="A17" t="str">
        <v>000016</v>
      </c>
      <c r="B17" s="1">
        <v>46311.5</v>
      </c>
      <c r="C17" t="str">
        <v>Norte</v>
      </c>
      <c r="D17" t="str">
        <v>María</v>
      </c>
      <c r="E17" t="str">
        <v>Agenda</v>
      </c>
      <c r="F17">
        <v>1</v>
      </c>
      <c r="G17" s="2">
        <v>5990</v>
      </c>
      <c r="H17" s="2">
        <f>F17*G17</f>
        <v>5990</v>
      </c>
      <c r="I17" t="b">
        <v>1</v>
      </c>
    </row>
    <row r="18">
      <c r="A18" t="str">
        <v>000017</v>
      </c>
      <c r="B18" s="1">
        <v>46312.5</v>
      </c>
      <c r="C18" t="str">
        <v>Centro</v>
      </c>
      <c r="D18" t="str">
        <v>María</v>
      </c>
      <c r="E18" t="str">
        <v>Cuaderno</v>
      </c>
      <c r="F18">
        <v>2</v>
      </c>
      <c r="G18" s="2">
        <v>2490.5</v>
      </c>
      <c r="H18" s="2">
        <f>F18*G18</f>
        <v>4981</v>
      </c>
      <c r="I18" t="b">
        <v>1</v>
      </c>
    </row>
    <row r="19">
      <c r="A19" t="str">
        <v>000018</v>
      </c>
      <c r="B19" s="1">
        <v>46313.5</v>
      </c>
      <c r="C19" t="str">
        <v>Sur</v>
      </c>
      <c r="D19" t="str">
        <v>María</v>
      </c>
      <c r="E19" t="str">
        <v>Lápiz</v>
      </c>
      <c r="F19">
        <v>-1</v>
      </c>
      <c r="G19" s="2">
        <v>590</v>
      </c>
      <c r="H19" s="2">
        <f>F19*G19</f>
        <v>-590</v>
      </c>
      <c r="I19" t="b">
        <v>1</v>
      </c>
    </row>
    <row r="20">
      <c r="A20" t="str">
        <v>000019</v>
      </c>
      <c r="B20" s="1">
        <v>46314.5</v>
      </c>
      <c r="C20" t="str">
        <v>Norte</v>
      </c>
      <c r="D20" t="str">
        <v>Ana</v>
      </c>
      <c r="E20" t="str">
        <v>Carpeta</v>
      </c>
      <c r="F20">
        <v>4</v>
      </c>
      <c r="G20" s="2">
        <v>1290.75</v>
      </c>
      <c r="H20" s="2">
        <f>F20*G20</f>
        <v>5163</v>
      </c>
      <c r="I20" t="b">
        <v>1</v>
      </c>
    </row>
    <row r="21">
      <c r="A21" t="str">
        <v>000020</v>
      </c>
      <c r="B21" s="1">
        <v>46315.5</v>
      </c>
      <c r="C21" t="str">
        <v>Centro</v>
      </c>
      <c r="D21" t="str">
        <v>Ana</v>
      </c>
      <c r="E21" t="str">
        <v>Agenda</v>
      </c>
      <c r="F21">
        <v>5</v>
      </c>
      <c r="G21" s="2">
        <v>5990</v>
      </c>
      <c r="H21" s="2">
        <f>F21*G21</f>
        <v>29950</v>
      </c>
      <c r="I21" t="b">
        <v>1</v>
      </c>
    </row>
    <row r="22">
      <c r="A22" t="str">
        <v>000021</v>
      </c>
      <c r="B22" s="1">
        <v>46316.5</v>
      </c>
      <c r="C22" t="str">
        <v>Sur</v>
      </c>
      <c r="D22" t="str">
        <v>Ana</v>
      </c>
      <c r="E22" t="str">
        <v>Cuaderno</v>
      </c>
      <c r="F22">
        <v>1</v>
      </c>
      <c r="G22" s="2">
        <v>2490.5</v>
      </c>
      <c r="H22" s="2">
        <f>F22*G22</f>
        <v>2490.5</v>
      </c>
      <c r="I22" t="b">
        <v>1</v>
      </c>
    </row>
    <row r="23">
      <c r="A23" t="str">
        <v>000022</v>
      </c>
      <c r="B23" s="1">
        <v>46317.5</v>
      </c>
      <c r="C23" t="str">
        <v>Norte</v>
      </c>
      <c r="D23" t="str">
        <v>Andrés</v>
      </c>
      <c r="E23" t="str">
        <v>Lápiz</v>
      </c>
      <c r="F23">
        <v>2</v>
      </c>
      <c r="G23" s="2">
        <v>590</v>
      </c>
      <c r="H23" s="2">
        <f>F23*G23</f>
        <v>1180</v>
      </c>
      <c r="I23" t="b">
        <v>0</v>
      </c>
    </row>
    <row r="24">
      <c r="A24" t="str">
        <v>000023</v>
      </c>
      <c r="B24" s="1">
        <v>46318.5</v>
      </c>
      <c r="C24" t="str">
        <v>Centro</v>
      </c>
      <c r="D24" t="str">
        <v>Andrés</v>
      </c>
      <c r="E24" t="str">
        <v>Carpeta</v>
      </c>
      <c r="F24">
        <v>3</v>
      </c>
      <c r="G24" s="2">
        <v>1290.75</v>
      </c>
      <c r="H24" s="2">
        <f>F24*G24</f>
        <v>3872.25</v>
      </c>
      <c r="I24" t="b">
        <v>1</v>
      </c>
    </row>
    <row r="25">
      <c r="A25" t="str">
        <v>000024</v>
      </c>
      <c r="B25" s="1">
        <v>46319.5</v>
      </c>
      <c r="C25" t="str">
        <v>Sur</v>
      </c>
      <c r="D25" t="str">
        <v>Andrés</v>
      </c>
      <c r="E25" t="str">
        <v>Agenda</v>
      </c>
      <c r="F25">
        <v>4</v>
      </c>
      <c r="G25" s="2">
        <v>5990</v>
      </c>
      <c r="H25" s="2">
        <f>F25*G25</f>
        <v>23960</v>
      </c>
      <c r="I25" t="b">
        <v>1</v>
      </c>
    </row>
  </sheetData>
  <ignoredErrors>
    <ignoredError numberStoredAsText="1" sqref="A1:I2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cols>
    <col min="1" max="1" width="20.83203125" customWidth="1"/>
    <col min="2" max="2" width="20.83203125" customWidth="1"/>
  </cols>
  <sheetData>
    <row r="1">
      <c r="A1" t="str">
        <v>REGION</v>
      </c>
      <c r="B1" t="str">
        <v>TOTAL</v>
      </c>
    </row>
    <row r="2">
      <c r="A2" t="str">
        <v>Norte</v>
      </c>
      <c r="B2" s="2">
        <f>SUMIF(Ventas!C2:C25,A2,Ventas!H2:H25)</f>
        <v>47914.25</v>
      </c>
    </row>
    <row r="3">
      <c r="A3" t="str">
        <v>Centro</v>
      </c>
      <c r="B3" s="2">
        <f>SUMIF(Ventas!C2:C25,A3,Ventas!H2:H25)</f>
        <v>74056.5</v>
      </c>
    </row>
    <row r="4">
      <c r="A4" t="str">
        <v>Sur</v>
      </c>
      <c r="B4" s="2">
        <f>SUMIF(Ventas!C2:C25,A4,Ventas!H2:H25)</f>
        <v>58718.5</v>
      </c>
    </row>
    <row r="5">
      <c r="A5" t="str">
        <v>Total general</v>
      </c>
      <c r="B5" s="2">
        <f>SUM(Ventas!H2:H25)</f>
        <v>180689.25</v>
      </c>
    </row>
  </sheetData>
  <ignoredErrors>
    <ignoredError numberStoredAsText="1" sqref="A1:B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Data>
    <row r="1">
      <c r="A1" t="str">
        <v>PRODUCTO</v>
      </c>
      <c r="B1" t="str">
        <v>PRECIO</v>
      </c>
    </row>
    <row r="2">
      <c r="A2" t="str">
        <v>Cuaderno</v>
      </c>
      <c r="B2">
        <v>2490.5</v>
      </c>
    </row>
    <row r="3">
      <c r="A3" t="str">
        <v>Lápiz</v>
      </c>
      <c r="B3">
        <v>590</v>
      </c>
    </row>
    <row r="4">
      <c r="A4" t="str">
        <v>Carpeta</v>
      </c>
      <c r="B4">
        <v>1290.75</v>
      </c>
    </row>
    <row r="5">
      <c r="A5" t="str">
        <v>Agenda</v>
      </c>
      <c r="B5">
        <v>5990</v>
      </c>
    </row>
  </sheetData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Ventas</vt:lpstr>
      <vt:lpstr>Resumen</vt:lpstr>
      <vt:lpstr>Catalogo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Spreadsheet and FoxPro import samples</dc:subject>
  <dc:title>Ventas ficticias para pruebas</dc:title>
</cp:coreProperties>
</file>